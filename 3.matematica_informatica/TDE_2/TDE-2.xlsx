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21c2bcef418c5b/Desktop/"/>
    </mc:Choice>
  </mc:AlternateContent>
  <xr:revisionPtr revIDLastSave="17" documentId="13_ncr:1_{9B957C1C-5155-4000-B559-9C2E2592F639}" xr6:coauthVersionLast="47" xr6:coauthVersionMax="47" xr10:uidLastSave="{507AAB86-EA28-4BAA-8E4A-8EA9E4E951C7}"/>
  <bookViews>
    <workbookView xWindow="-120" yWindow="-120" windowWidth="20730" windowHeight="11040" xr2:uid="{8459CD8F-F25F-43E2-9B55-DFBDB680E5B7}"/>
  </bookViews>
  <sheets>
    <sheet name="Operações com matriz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1" l="1"/>
  <c r="AE12" i="1" s="1"/>
  <c r="J11" i="1"/>
  <c r="AE5" i="1"/>
  <c r="AD3" i="1" s="1"/>
  <c r="BB8" i="1"/>
  <c r="BB7" i="1"/>
  <c r="BB6" i="1"/>
  <c r="BA8" i="1"/>
  <c r="BA7" i="1"/>
  <c r="BA6" i="1"/>
  <c r="AZ8" i="1"/>
  <c r="AZ7" i="1"/>
  <c r="AZ6" i="1"/>
  <c r="BB4" i="1"/>
  <c r="BB3" i="1"/>
  <c r="BB2" i="1"/>
  <c r="BA3" i="1"/>
  <c r="BA4" i="1"/>
  <c r="BA2" i="1"/>
  <c r="AZ4" i="1"/>
  <c r="AZ3" i="1"/>
  <c r="AZ2" i="1"/>
  <c r="AW8" i="1"/>
  <c r="AW7" i="1"/>
  <c r="AW6" i="1"/>
  <c r="AV8" i="1"/>
  <c r="AV7" i="1"/>
  <c r="AV6" i="1"/>
  <c r="AU8" i="1"/>
  <c r="AU7" i="1"/>
  <c r="AU6" i="1"/>
  <c r="AW4" i="1"/>
  <c r="AW3" i="1"/>
  <c r="AV4" i="1"/>
  <c r="AV3" i="1"/>
  <c r="AU4" i="1"/>
  <c r="AU3" i="1"/>
  <c r="AW2" i="1"/>
  <c r="AV2" i="1"/>
  <c r="AU2" i="1"/>
  <c r="Q17" i="1"/>
  <c r="Q16" i="1"/>
  <c r="Q15" i="1"/>
  <c r="P17" i="1"/>
  <c r="P16" i="1"/>
  <c r="P15" i="1"/>
  <c r="O17" i="1"/>
  <c r="O16" i="1"/>
  <c r="O15" i="1"/>
  <c r="Q13" i="1"/>
  <c r="AA13" i="1" s="1"/>
  <c r="Q12" i="1"/>
  <c r="AA12" i="1" s="1"/>
  <c r="Q11" i="1"/>
  <c r="P13" i="1"/>
  <c r="Z13" i="1" s="1"/>
  <c r="P12" i="1"/>
  <c r="Z12" i="1" s="1"/>
  <c r="P11" i="1"/>
  <c r="Z11" i="1" s="1"/>
  <c r="O13" i="1"/>
  <c r="Y13" i="1" s="1"/>
  <c r="O12" i="1"/>
  <c r="Y12" i="1" s="1"/>
  <c r="O11" i="1"/>
  <c r="Y11" i="1" s="1"/>
  <c r="L17" i="1"/>
  <c r="K17" i="1"/>
  <c r="J17" i="1"/>
  <c r="L16" i="1"/>
  <c r="K16" i="1"/>
  <c r="J16" i="1"/>
  <c r="L15" i="1"/>
  <c r="J15" i="1"/>
  <c r="K15" i="1"/>
  <c r="L13" i="1"/>
  <c r="K13" i="1"/>
  <c r="J13" i="1"/>
  <c r="L12" i="1"/>
  <c r="K12" i="1"/>
  <c r="J12" i="1"/>
  <c r="L11" i="1"/>
  <c r="K11" i="1"/>
  <c r="J4" i="1"/>
  <c r="K3" i="1"/>
  <c r="J3" i="1"/>
  <c r="J6" i="1"/>
  <c r="O7" i="1"/>
  <c r="P6" i="1"/>
  <c r="P7" i="1"/>
  <c r="O6" i="1"/>
  <c r="P3" i="1"/>
  <c r="O4" i="1"/>
  <c r="Y4" i="1" s="1"/>
  <c r="P4" i="1"/>
  <c r="Z4" i="1" s="1"/>
  <c r="O3" i="1"/>
  <c r="Y3" i="1" s="1"/>
  <c r="K7" i="1"/>
  <c r="J7" i="1"/>
  <c r="K6" i="1"/>
  <c r="K4" i="1"/>
  <c r="AE14" i="1" l="1"/>
  <c r="AE13" i="1"/>
  <c r="AF14" i="1"/>
  <c r="AD11" i="1"/>
  <c r="AD14" i="1"/>
  <c r="AF12" i="1"/>
  <c r="AD13" i="1"/>
  <c r="AF13" i="1"/>
  <c r="AD12" i="1"/>
  <c r="AD2" i="1"/>
  <c r="AD4" i="1"/>
  <c r="AE3" i="1"/>
  <c r="AE4" i="1"/>
  <c r="BE2" i="1"/>
  <c r="BE3" i="1"/>
  <c r="BE5" i="1"/>
  <c r="BE4" i="1"/>
  <c r="V11" i="1"/>
  <c r="V15" i="1" s="1"/>
  <c r="Y16" i="1"/>
  <c r="Z6" i="1"/>
  <c r="AA17" i="1"/>
  <c r="U3" i="1"/>
  <c r="U6" i="1" s="1"/>
  <c r="Z15" i="1"/>
  <c r="T12" i="1"/>
  <c r="T16" i="1" s="1"/>
  <c r="Y15" i="1"/>
  <c r="AA16" i="1"/>
  <c r="T13" i="1"/>
  <c r="T17" i="1" s="1"/>
  <c r="Z7" i="1"/>
  <c r="Z3" i="1"/>
  <c r="Z16" i="1"/>
  <c r="U4" i="1"/>
  <c r="U7" i="1" s="1"/>
  <c r="T11" i="1"/>
  <c r="T15" i="1" s="1"/>
  <c r="V13" i="1"/>
  <c r="V17" i="1" s="1"/>
  <c r="AA11" i="1"/>
  <c r="Z17" i="1"/>
  <c r="Y7" i="1"/>
  <c r="U13" i="1"/>
  <c r="U17" i="1" s="1"/>
  <c r="Y17" i="1"/>
  <c r="T4" i="1"/>
  <c r="T7" i="1" s="1"/>
  <c r="V12" i="1"/>
  <c r="V16" i="1" s="1"/>
  <c r="Y6" i="1"/>
  <c r="AA15" i="1"/>
  <c r="T3" i="1"/>
  <c r="T6" i="1" s="1"/>
  <c r="U11" i="1"/>
  <c r="U15" i="1" s="1"/>
  <c r="U12" i="1"/>
  <c r="U16" i="1" s="1"/>
  <c r="BH3" i="1" l="1"/>
  <c r="BH5" i="1"/>
  <c r="BH4" i="1"/>
</calcChain>
</file>

<file path=xl/sharedStrings.xml><?xml version="1.0" encoding="utf-8"?>
<sst xmlns="http://schemas.openxmlformats.org/spreadsheetml/2006/main" count="54" uniqueCount="34">
  <si>
    <t>Matrizes 2x2:</t>
  </si>
  <si>
    <t>Resultados:</t>
  </si>
  <si>
    <t>A + B =</t>
  </si>
  <si>
    <t>A x B =</t>
  </si>
  <si>
    <t>A^t =</t>
  </si>
  <si>
    <t>B^t =</t>
  </si>
  <si>
    <t>B x A^t =</t>
  </si>
  <si>
    <t>Matrizes 3x3:</t>
  </si>
  <si>
    <t>A =</t>
  </si>
  <si>
    <t>B =</t>
  </si>
  <si>
    <t>AxB+BxA^t =</t>
  </si>
  <si>
    <t>A+A^t+B =</t>
  </si>
  <si>
    <t>A^-1 =</t>
  </si>
  <si>
    <t>Método de Cramer:</t>
  </si>
  <si>
    <t>x</t>
  </si>
  <si>
    <t>y</t>
  </si>
  <si>
    <t>z</t>
  </si>
  <si>
    <t>=</t>
  </si>
  <si>
    <t>Δ =</t>
  </si>
  <si>
    <t>Δx =</t>
  </si>
  <si>
    <t>Δy =</t>
  </si>
  <si>
    <t>Δz =</t>
  </si>
  <si>
    <t>det Δ =</t>
  </si>
  <si>
    <t>det Δx =</t>
  </si>
  <si>
    <t>det Δz =</t>
  </si>
  <si>
    <t>det Δy =</t>
  </si>
  <si>
    <t>x =</t>
  </si>
  <si>
    <t>y =</t>
  </si>
  <si>
    <t>z =</t>
  </si>
  <si>
    <t>Solução:</t>
  </si>
  <si>
    <t>det A=</t>
  </si>
  <si>
    <t>det A =</t>
  </si>
  <si>
    <t>(AxB)xA^t =</t>
  </si>
  <si>
    <t xml:space="preserve">Dupla: Mattia Poletto, Kaique Mendes, Gabriel Maier, Matheus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</si>
</sst>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0" fillId="3" borderId="0" xfId="0" applyFill="1"/>
    <xf numFmtId="0" fontId="0" fillId="0" borderId="0" xfId="0" applyAlignment="1">
      <alignment horizontal="right"/>
    </xf>
    <xf numFmtId="0" fontId="2" fillId="4" borderId="0" xfId="0" applyFont="1" applyFill="1"/>
    <xf numFmtId="0" fontId="2" fillId="0" borderId="0" xfId="0" applyFont="1" applyAlignment="1">
      <alignment horizontal="right"/>
    </xf>
    <xf numFmtId="0" fontId="0" fillId="4" borderId="0" xfId="0" applyFill="1"/>
    <xf numFmtId="0" fontId="2" fillId="2" borderId="0" xfId="0" applyFont="1" applyFill="1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1" fontId="2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4D63-E5BC-409A-B3F2-A5ABCD800D29}">
  <dimension ref="A1:BK19"/>
  <sheetViews>
    <sheetView tabSelected="1" zoomScale="238" zoomScaleNormal="100" workbookViewId="0">
      <selection activeCell="E7" sqref="E7"/>
    </sheetView>
  </sheetViews>
  <sheetFormatPr defaultRowHeight="15" x14ac:dyDescent="0.25"/>
  <cols>
    <col min="2" max="2" width="12.28515625" customWidth="1"/>
    <col min="3" max="3" width="3.5703125" customWidth="1"/>
    <col min="4" max="6" width="8.7109375" customWidth="1"/>
    <col min="7" max="7" width="3.140625" customWidth="1"/>
    <col min="8" max="8" width="11.42578125" customWidth="1"/>
    <col min="9" max="9" width="6.7109375" customWidth="1"/>
    <col min="10" max="12" width="8.7109375" customWidth="1"/>
    <col min="13" max="13" width="5.28515625" customWidth="1"/>
    <col min="14" max="14" width="5.42578125" customWidth="1"/>
    <col min="15" max="15" width="8.7109375" customWidth="1"/>
    <col min="16" max="16" width="8.85546875" customWidth="1"/>
    <col min="17" max="17" width="8.7109375" customWidth="1"/>
    <col min="18" max="18" width="5.28515625" customWidth="1"/>
    <col min="19" max="19" width="11.7109375" customWidth="1"/>
    <col min="20" max="22" width="8.7109375" customWidth="1"/>
    <col min="23" max="23" width="5.28515625" customWidth="1"/>
    <col min="24" max="24" width="10.28515625" customWidth="1"/>
    <col min="28" max="28" width="5.28515625" customWidth="1"/>
    <col min="29" max="29" width="6.42578125" customWidth="1"/>
    <col min="34" max="34" width="0.7109375" customWidth="1"/>
    <col min="36" max="36" width="17.5703125" customWidth="1"/>
    <col min="37" max="37" width="5.28515625" customWidth="1"/>
    <col min="38" max="38" width="1.7109375" customWidth="1"/>
    <col min="39" max="39" width="5.28515625" customWidth="1"/>
    <col min="40" max="40" width="1.7109375" customWidth="1"/>
    <col min="41" max="41" width="5.28515625" customWidth="1"/>
    <col min="42" max="42" width="1.5703125" customWidth="1"/>
    <col min="43" max="43" width="1.7109375" customWidth="1"/>
    <col min="44" max="44" width="5.28515625" customWidth="1"/>
    <col min="45" max="45" width="1.7109375" customWidth="1"/>
    <col min="46" max="46" width="4.140625" customWidth="1"/>
    <col min="50" max="50" width="1.7109375" customWidth="1"/>
    <col min="51" max="51" width="4.42578125" customWidth="1"/>
    <col min="55" max="55" width="2.140625" customWidth="1"/>
    <col min="56" max="56" width="7.28515625" customWidth="1"/>
    <col min="57" max="57" width="5.7109375" customWidth="1"/>
    <col min="58" max="58" width="2.140625" customWidth="1"/>
    <col min="59" max="59" width="3.28515625" customWidth="1"/>
    <col min="60" max="60" width="4.42578125" customWidth="1"/>
    <col min="63" max="63" width="0.5703125" customWidth="1"/>
  </cols>
  <sheetData>
    <row r="1" spans="1:63" x14ac:dyDescent="0.25">
      <c r="A1" s="1" t="s">
        <v>33</v>
      </c>
      <c r="AH1" s="7"/>
      <c r="BK1" s="7"/>
    </row>
    <row r="2" spans="1:63" x14ac:dyDescent="0.25">
      <c r="AD2" s="1" t="str">
        <f>IF(AE5=0, "Não há inversa", "")</f>
        <v>Não há inversa</v>
      </c>
      <c r="AH2" s="7"/>
      <c r="AJ2" s="1" t="s">
        <v>13</v>
      </c>
      <c r="AK2" s="13"/>
      <c r="AL2" s="14" t="s">
        <v>14</v>
      </c>
      <c r="AM2" s="14"/>
      <c r="AN2" s="14" t="s">
        <v>15</v>
      </c>
      <c r="AO2" s="14"/>
      <c r="AP2" s="14" t="s">
        <v>16</v>
      </c>
      <c r="AQ2" s="14" t="s">
        <v>17</v>
      </c>
      <c r="AR2" s="17"/>
      <c r="AT2" s="1" t="s">
        <v>18</v>
      </c>
      <c r="AU2" s="2">
        <f>AK2</f>
        <v>0</v>
      </c>
      <c r="AV2" s="2">
        <f>AM2</f>
        <v>0</v>
      </c>
      <c r="AW2" s="2">
        <f>AO2</f>
        <v>0</v>
      </c>
      <c r="AY2" s="1" t="s">
        <v>20</v>
      </c>
      <c r="AZ2" s="2">
        <f>AK2</f>
        <v>0</v>
      </c>
      <c r="BA2" s="2">
        <f>AR2</f>
        <v>0</v>
      </c>
      <c r="BB2" s="2">
        <f>AO2</f>
        <v>0</v>
      </c>
      <c r="BD2" s="9" t="s">
        <v>22</v>
      </c>
      <c r="BE2">
        <f>(AU2*AV3*AW4+AV2*AW3*AU4+AU3*AV4*AW2)-(AU4*AV3*AW2+AU3*AV2*AW4+AV4*AW3*AU2)</f>
        <v>0</v>
      </c>
      <c r="BG2" s="1" t="s">
        <v>29</v>
      </c>
      <c r="BK2" s="7"/>
    </row>
    <row r="3" spans="1:63" x14ac:dyDescent="0.25">
      <c r="B3" s="1" t="s">
        <v>0</v>
      </c>
      <c r="C3" t="s">
        <v>8</v>
      </c>
      <c r="D3" s="2"/>
      <c r="E3" s="2"/>
      <c r="H3" s="1" t="s">
        <v>1</v>
      </c>
      <c r="I3" t="s">
        <v>2</v>
      </c>
      <c r="J3" s="2">
        <f>D3+D6</f>
        <v>0</v>
      </c>
      <c r="K3" s="2">
        <f>E3+E6</f>
        <v>0</v>
      </c>
      <c r="N3" t="s">
        <v>4</v>
      </c>
      <c r="O3" s="2">
        <f>D3</f>
        <v>0</v>
      </c>
      <c r="P3" s="2">
        <f>D4</f>
        <v>0</v>
      </c>
      <c r="S3" s="4" t="s">
        <v>6</v>
      </c>
      <c r="T3" s="2">
        <f>(D6*O3)+(E6*O4)</f>
        <v>0</v>
      </c>
      <c r="U3" s="2">
        <f>(D6*P3)+(E6*P4)</f>
        <v>0</v>
      </c>
      <c r="X3" s="4" t="s">
        <v>11</v>
      </c>
      <c r="Y3" s="2">
        <f>(D3+O3+D6)</f>
        <v>0</v>
      </c>
      <c r="Z3" s="2">
        <f>(E3+P3+E6)</f>
        <v>0</v>
      </c>
      <c r="AC3" t="s">
        <v>12</v>
      </c>
      <c r="AD3" s="2" t="str">
        <f>IF(AE5=0, "---", (E4)/(AE5))</f>
        <v>---</v>
      </c>
      <c r="AE3" s="2" t="str">
        <f>IF(AE5=0, "---", -(E3)/(AE5))</f>
        <v>---</v>
      </c>
      <c r="AH3" s="7"/>
      <c r="AK3" s="11"/>
      <c r="AL3" s="8" t="s">
        <v>14</v>
      </c>
      <c r="AM3" s="8"/>
      <c r="AN3" s="8" t="s">
        <v>15</v>
      </c>
      <c r="AO3" s="8"/>
      <c r="AP3" s="8" t="s">
        <v>16</v>
      </c>
      <c r="AQ3" s="8" t="s">
        <v>17</v>
      </c>
      <c r="AR3" s="15"/>
      <c r="AU3" s="2">
        <f>AK3</f>
        <v>0</v>
      </c>
      <c r="AV3" s="2">
        <f>AM3</f>
        <v>0</v>
      </c>
      <c r="AW3" s="2">
        <f>AO3</f>
        <v>0</v>
      </c>
      <c r="AZ3" s="2">
        <f>AK3</f>
        <v>0</v>
      </c>
      <c r="BA3" s="2">
        <f>AR3</f>
        <v>0</v>
      </c>
      <c r="BB3" s="2">
        <f>AO3</f>
        <v>0</v>
      </c>
      <c r="BD3" s="1" t="s">
        <v>23</v>
      </c>
      <c r="BE3">
        <f>(AU6*AV7*AW8+AV6*AW7*AU8+AU7*AV8*AW6)-(AU8*AV7*AW6+AU7*AV6*AW8+AV8*AW7*AU6)</f>
        <v>0</v>
      </c>
      <c r="BG3" s="1" t="s">
        <v>26</v>
      </c>
      <c r="BH3" t="str">
        <f>IF(BE2=0, IF(BE3=0, "Indeterminado", "Impossível"), BE3/BE2)</f>
        <v>Indeterminado</v>
      </c>
      <c r="BK3" s="7"/>
    </row>
    <row r="4" spans="1:63" x14ac:dyDescent="0.25">
      <c r="D4" s="2"/>
      <c r="E4" s="2"/>
      <c r="J4" s="2">
        <f>D4+D7</f>
        <v>0</v>
      </c>
      <c r="K4" s="2">
        <f>E4+E7</f>
        <v>0</v>
      </c>
      <c r="O4" s="2">
        <f>E3</f>
        <v>0</v>
      </c>
      <c r="P4" s="2">
        <f>E4</f>
        <v>0</v>
      </c>
      <c r="T4" s="2">
        <f>(D7*O3)+(E7*O4)</f>
        <v>0</v>
      </c>
      <c r="U4" s="2">
        <f>(D7*P3)+(E7*P4)</f>
        <v>0</v>
      </c>
      <c r="Y4" s="2">
        <f>(D4+O4+D7)</f>
        <v>0</v>
      </c>
      <c r="Z4" s="2">
        <f>(E4+P4+E7)</f>
        <v>0</v>
      </c>
      <c r="AD4" s="2" t="str">
        <f>IF(AE5=0, "---", -(D4)/(AE5))</f>
        <v>---</v>
      </c>
      <c r="AE4" s="2" t="str">
        <f>IF(AE5=0, "---", (D3)/(AE5))</f>
        <v>---</v>
      </c>
      <c r="AH4" s="7"/>
      <c r="AK4" s="12"/>
      <c r="AL4" s="10" t="s">
        <v>14</v>
      </c>
      <c r="AM4" s="10"/>
      <c r="AN4" s="10" t="s">
        <v>15</v>
      </c>
      <c r="AO4" s="10"/>
      <c r="AP4" s="10" t="s">
        <v>16</v>
      </c>
      <c r="AQ4" s="10" t="s">
        <v>17</v>
      </c>
      <c r="AR4" s="16"/>
      <c r="AU4" s="2">
        <f>AK4</f>
        <v>0</v>
      </c>
      <c r="AV4" s="2">
        <f>AM4</f>
        <v>0</v>
      </c>
      <c r="AW4" s="2">
        <f>AO4</f>
        <v>0</v>
      </c>
      <c r="AZ4" s="2">
        <f>AK4</f>
        <v>0</v>
      </c>
      <c r="BA4" s="2">
        <f>AR4</f>
        <v>0</v>
      </c>
      <c r="BB4" s="2">
        <f>AO4</f>
        <v>0</v>
      </c>
      <c r="BD4" s="1" t="s">
        <v>25</v>
      </c>
      <c r="BE4">
        <f>(AZ2*BA3*BB4+AZ3*BA4*BB2+BA2*BB3*AZ4)-(AZ4*BA3*BB2+AZ3*BA2*BB4+BA4*BB3*AZ2)</f>
        <v>0</v>
      </c>
      <c r="BG4" s="1" t="s">
        <v>27</v>
      </c>
      <c r="BH4" t="str">
        <f>IF(BE2=0, IF(BE4=0, "Indeterminado", "Impossível"), BE4/BE2)</f>
        <v>Indeterminado</v>
      </c>
      <c r="BK4" s="7"/>
    </row>
    <row r="5" spans="1:63" x14ac:dyDescent="0.25">
      <c r="AD5" s="9" t="s">
        <v>31</v>
      </c>
      <c r="AE5">
        <f>(D3*E4-D4*E3)</f>
        <v>0</v>
      </c>
      <c r="AH5" s="7"/>
      <c r="BD5" s="1" t="s">
        <v>24</v>
      </c>
      <c r="BE5">
        <f>(AZ6*BA7*BB8+BA6*BB7*AZ8+AZ7*BA8*BB6)-(AZ8*BA7*BB6+AZ7*BA6*BB8+BA8*BB7*AZ6)</f>
        <v>0</v>
      </c>
      <c r="BG5" s="1" t="s">
        <v>28</v>
      </c>
      <c r="BH5" t="str">
        <f>IF(BE2=0, IF(BE5=0, "Indeterminado", "Impossível"), BE5/BE2)</f>
        <v>Indeterminado</v>
      </c>
      <c r="BK5" s="7"/>
    </row>
    <row r="6" spans="1:63" x14ac:dyDescent="0.25">
      <c r="C6" t="s">
        <v>9</v>
      </c>
      <c r="D6" s="2"/>
      <c r="E6" s="2"/>
      <c r="I6" t="s">
        <v>3</v>
      </c>
      <c r="J6" s="2">
        <f>(D3*D6)+(E3*D7)</f>
        <v>0</v>
      </c>
      <c r="K6" s="2">
        <f>(D3*E6)+(E3*E7)</f>
        <v>0</v>
      </c>
      <c r="N6" t="s">
        <v>5</v>
      </c>
      <c r="O6" s="2">
        <f>D6</f>
        <v>0</v>
      </c>
      <c r="P6" s="2">
        <f>D7</f>
        <v>0</v>
      </c>
      <c r="S6" s="6" t="s">
        <v>10</v>
      </c>
      <c r="T6" s="2">
        <f>(J6+T3)</f>
        <v>0</v>
      </c>
      <c r="U6" s="2">
        <f>(K6+U3)</f>
        <v>0</v>
      </c>
      <c r="X6" t="s">
        <v>32</v>
      </c>
      <c r="Y6" s="2">
        <f>(J6*O3)+(K6*O4)</f>
        <v>0</v>
      </c>
      <c r="Z6" s="2">
        <f>(J6*P3)+(K6*P4)</f>
        <v>0</v>
      </c>
      <c r="AH6" s="7"/>
      <c r="AT6" s="1" t="s">
        <v>19</v>
      </c>
      <c r="AU6" s="2">
        <f>AR2</f>
        <v>0</v>
      </c>
      <c r="AV6" s="2">
        <f>AM2</f>
        <v>0</v>
      </c>
      <c r="AW6" s="2">
        <f>AO2</f>
        <v>0</v>
      </c>
      <c r="AY6" s="1" t="s">
        <v>21</v>
      </c>
      <c r="AZ6" s="2">
        <f>AK2</f>
        <v>0</v>
      </c>
      <c r="BA6" s="2">
        <f>AM2</f>
        <v>0</v>
      </c>
      <c r="BB6" s="2">
        <f>AR2</f>
        <v>0</v>
      </c>
      <c r="BK6" s="7"/>
    </row>
    <row r="7" spans="1:63" x14ac:dyDescent="0.25">
      <c r="D7" s="2"/>
      <c r="E7" s="2"/>
      <c r="J7" s="2">
        <f>(D4*D6)+(E4*D7)</f>
        <v>0</v>
      </c>
      <c r="K7" s="2">
        <f>(D4*E6)+(E4*E7)</f>
        <v>0</v>
      </c>
      <c r="O7" s="2">
        <f>E6</f>
        <v>0</v>
      </c>
      <c r="P7" s="2">
        <f>E7</f>
        <v>0</v>
      </c>
      <c r="T7" s="2">
        <f>(J7+T4)</f>
        <v>0</v>
      </c>
      <c r="U7" s="2">
        <f>(K7+U4)</f>
        <v>0</v>
      </c>
      <c r="Y7" s="2">
        <f>(J7*O3)+(K7*O4)</f>
        <v>0</v>
      </c>
      <c r="Z7" s="2">
        <f>(J7*P3)+(K7*P4)</f>
        <v>0</v>
      </c>
      <c r="AH7" s="7"/>
      <c r="AU7" s="2">
        <f>AR3</f>
        <v>0</v>
      </c>
      <c r="AV7" s="2">
        <f>AM3</f>
        <v>0</v>
      </c>
      <c r="AW7" s="2">
        <f>AO3</f>
        <v>0</v>
      </c>
      <c r="AZ7" s="2">
        <f>AK3</f>
        <v>0</v>
      </c>
      <c r="BA7" s="2">
        <f>AM3</f>
        <v>0</v>
      </c>
      <c r="BB7" s="2">
        <f>AR3</f>
        <v>0</v>
      </c>
      <c r="BK7" s="7"/>
    </row>
    <row r="8" spans="1:63" x14ac:dyDescent="0.25">
      <c r="AH8" s="7"/>
      <c r="AU8" s="2">
        <f>AR4</f>
        <v>0</v>
      </c>
      <c r="AV8" s="2">
        <f>AM4</f>
        <v>0</v>
      </c>
      <c r="AW8" s="2">
        <f>AO4</f>
        <v>0</v>
      </c>
      <c r="AZ8" s="2">
        <f>AK4</f>
        <v>0</v>
      </c>
      <c r="BA8" s="2">
        <f>AM4</f>
        <v>0</v>
      </c>
      <c r="BB8" s="2">
        <f>AR4</f>
        <v>0</v>
      </c>
      <c r="BK8" s="7"/>
    </row>
    <row r="9" spans="1:63" ht="3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5"/>
      <c r="AA9" s="5"/>
      <c r="AB9" s="5"/>
      <c r="AC9" s="5"/>
      <c r="AD9" s="5"/>
      <c r="AE9" s="5"/>
      <c r="AF9" s="7"/>
      <c r="AG9" s="7"/>
      <c r="AH9" s="7"/>
      <c r="BK9" s="7"/>
    </row>
    <row r="10" spans="1:63" x14ac:dyDescent="0.25">
      <c r="AH10" s="7"/>
      <c r="BK10" s="7"/>
    </row>
    <row r="11" spans="1:63" x14ac:dyDescent="0.25">
      <c r="B11" s="1" t="s">
        <v>7</v>
      </c>
      <c r="C11" t="s">
        <v>8</v>
      </c>
      <c r="D11" s="2"/>
      <c r="E11" s="2"/>
      <c r="F11" s="2"/>
      <c r="H11" s="1" t="s">
        <v>1</v>
      </c>
      <c r="I11" t="s">
        <v>2</v>
      </c>
      <c r="J11" s="2">
        <f>D11+D15</f>
        <v>0</v>
      </c>
      <c r="K11" s="2">
        <f t="shared" ref="J11:L13" si="0">E11+E15</f>
        <v>0</v>
      </c>
      <c r="L11" s="2">
        <f t="shared" si="0"/>
        <v>0</v>
      </c>
      <c r="N11" t="s">
        <v>4</v>
      </c>
      <c r="O11" s="2">
        <f>D11</f>
        <v>0</v>
      </c>
      <c r="P11" s="2">
        <f>D12</f>
        <v>0</v>
      </c>
      <c r="Q11" s="2">
        <f>D13</f>
        <v>0</v>
      </c>
      <c r="S11" s="4" t="s">
        <v>6</v>
      </c>
      <c r="T11" s="2">
        <f>(D15*O11+E15*O12+F15*O13)</f>
        <v>0</v>
      </c>
      <c r="U11" s="2">
        <f>(D15*P11+E15*P12+F15*P13)</f>
        <v>0</v>
      </c>
      <c r="V11" s="2">
        <f>(D15*Q11+E15*Q12+F15*Q13)</f>
        <v>0</v>
      </c>
      <c r="X11" s="4" t="s">
        <v>11</v>
      </c>
      <c r="Y11" s="2">
        <f t="shared" ref="Y11:AA13" si="1">(D11+O11+D15)</f>
        <v>0</v>
      </c>
      <c r="Z11" s="2">
        <f t="shared" si="1"/>
        <v>0</v>
      </c>
      <c r="AA11" s="2">
        <f t="shared" si="1"/>
        <v>0</v>
      </c>
      <c r="AD11" s="1" t="str">
        <f>IF(AE15=0, "Não há inversa","")</f>
        <v>Não há inversa</v>
      </c>
      <c r="AH11" s="7"/>
      <c r="BK11" s="7"/>
    </row>
    <row r="12" spans="1:63" x14ac:dyDescent="0.25">
      <c r="D12" s="2"/>
      <c r="E12" s="2"/>
      <c r="F12" s="2"/>
      <c r="J12" s="2">
        <f t="shared" si="0"/>
        <v>0</v>
      </c>
      <c r="K12" s="2">
        <f t="shared" si="0"/>
        <v>0</v>
      </c>
      <c r="L12" s="2">
        <f t="shared" si="0"/>
        <v>0</v>
      </c>
      <c r="O12" s="2">
        <f>E11</f>
        <v>0</v>
      </c>
      <c r="P12" s="2">
        <f>E12</f>
        <v>0</v>
      </c>
      <c r="Q12" s="2">
        <f>E13</f>
        <v>0</v>
      </c>
      <c r="T12" s="2">
        <f>(D16*O11+E16*O12+F16*O13)</f>
        <v>0</v>
      </c>
      <c r="U12" s="2">
        <f>(D16*P11+E16*P12+F16*P13)</f>
        <v>0</v>
      </c>
      <c r="V12" s="2">
        <f>(D16*Q11+E16*Q12+F16*Q13)</f>
        <v>0</v>
      </c>
      <c r="Y12" s="2">
        <f t="shared" si="1"/>
        <v>0</v>
      </c>
      <c r="Z12" s="2">
        <f t="shared" si="1"/>
        <v>0</v>
      </c>
      <c r="AA12" s="2">
        <f t="shared" si="1"/>
        <v>0</v>
      </c>
      <c r="AC12" t="s">
        <v>12</v>
      </c>
      <c r="AD12" s="2" t="str">
        <f>IF(AE15=0, "---", (E12*F13-E13*F12)/(AE15))</f>
        <v>---</v>
      </c>
      <c r="AE12" s="18" t="str">
        <f>IF(AE15=0, "---", -(E11*F13-E13*F11)/(AE15))</f>
        <v>---</v>
      </c>
      <c r="AF12" s="2" t="str">
        <f>IF(AE15=0, "---", (E11*F12-E12*F11)/(AE15))</f>
        <v>---</v>
      </c>
      <c r="AH12" s="7"/>
      <c r="BK12" s="7"/>
    </row>
    <row r="13" spans="1:63" x14ac:dyDescent="0.25">
      <c r="D13" s="2"/>
      <c r="E13" s="2"/>
      <c r="F13" s="2"/>
      <c r="J13" s="2">
        <f t="shared" si="0"/>
        <v>0</v>
      </c>
      <c r="K13" s="2">
        <f t="shared" si="0"/>
        <v>0</v>
      </c>
      <c r="L13" s="2">
        <f t="shared" si="0"/>
        <v>0</v>
      </c>
      <c r="O13" s="2">
        <f>F11</f>
        <v>0</v>
      </c>
      <c r="P13" s="2">
        <f>F12</f>
        <v>0</v>
      </c>
      <c r="Q13" s="2">
        <f>F13</f>
        <v>0</v>
      </c>
      <c r="T13" s="2">
        <f>(D17*O11+E17*O12+F17*O13)</f>
        <v>0</v>
      </c>
      <c r="U13" s="2">
        <f>(D17*P11+E17*P12+F17*P13)</f>
        <v>0</v>
      </c>
      <c r="V13" s="2">
        <f>(D17*Q11+E17*Q12+F17*Q13)</f>
        <v>0</v>
      </c>
      <c r="Y13" s="2">
        <f t="shared" si="1"/>
        <v>0</v>
      </c>
      <c r="Z13" s="2">
        <f t="shared" si="1"/>
        <v>0</v>
      </c>
      <c r="AA13" s="2">
        <f t="shared" si="1"/>
        <v>0</v>
      </c>
      <c r="AD13" s="2" t="str">
        <f>IF(AE15=0, "---", -(D12*F13-D13*F12)/(AE15))</f>
        <v>---</v>
      </c>
      <c r="AE13" s="2" t="str">
        <f>IF(AE15=0, "---", (D11*F13-D13*F11)/(AE15))</f>
        <v>---</v>
      </c>
      <c r="AF13" s="2" t="str">
        <f>IF(AE15=0, "---", -(D11*F12-D12*F11)/(AE15))</f>
        <v>---</v>
      </c>
      <c r="AH13" s="7"/>
      <c r="BK13" s="7"/>
    </row>
    <row r="14" spans="1:63" x14ac:dyDescent="0.25">
      <c r="AD14" s="2" t="str">
        <f>IF(AE15=0, "---", (D12*E13-D13*E12)/(AE15))</f>
        <v>---</v>
      </c>
      <c r="AE14" s="2" t="str">
        <f>IF(AE15=0, "---", -(D11*E13-D13*E11)/(AE15))</f>
        <v>---</v>
      </c>
      <c r="AF14" s="2" t="str">
        <f>IF(AE15=0, "---", (D11*E12-D12*E11)/(AE15))</f>
        <v>---</v>
      </c>
      <c r="AH14" s="7"/>
      <c r="BK14" s="7"/>
    </row>
    <row r="15" spans="1:63" x14ac:dyDescent="0.25">
      <c r="C15" t="s">
        <v>9</v>
      </c>
      <c r="D15" s="2"/>
      <c r="E15" s="2"/>
      <c r="F15" s="2"/>
      <c r="I15" t="s">
        <v>3</v>
      </c>
      <c r="J15" s="2">
        <f>(D11*D15+E11*D16+F11*D17)</f>
        <v>0</v>
      </c>
      <c r="K15" s="2">
        <f>(D11*E15+E11*E16+F11*E17)</f>
        <v>0</v>
      </c>
      <c r="L15" s="2">
        <f>(D11*F15+E11*F16+F11*F17)</f>
        <v>0</v>
      </c>
      <c r="N15" t="s">
        <v>5</v>
      </c>
      <c r="O15" s="2">
        <f>D15</f>
        <v>0</v>
      </c>
      <c r="P15" s="2">
        <f>D16</f>
        <v>0</v>
      </c>
      <c r="Q15" s="2">
        <f>D17</f>
        <v>0</v>
      </c>
      <c r="S15" t="s">
        <v>10</v>
      </c>
      <c r="T15" s="2">
        <f t="shared" ref="T15:V17" si="2">(J15+T11)</f>
        <v>0</v>
      </c>
      <c r="U15" s="2">
        <f t="shared" si="2"/>
        <v>0</v>
      </c>
      <c r="V15" s="2">
        <f t="shared" si="2"/>
        <v>0</v>
      </c>
      <c r="X15" t="s">
        <v>32</v>
      </c>
      <c r="Y15" s="2">
        <f>(J15*O11+K15*O12+L15*O13)</f>
        <v>0</v>
      </c>
      <c r="Z15" s="2">
        <f>(J15*P11+K15*P12+L15*P13)</f>
        <v>0</v>
      </c>
      <c r="AA15" s="2">
        <f>(J15*Q11+K15*Q12+L15*Q13)</f>
        <v>0</v>
      </c>
      <c r="AD15" s="9" t="s">
        <v>30</v>
      </c>
      <c r="AE15">
        <f>(D11*E12*F13+E11*F12*D13+F11*D12*E13)-(D13*E12*F11+D12*E11*F13+E13*F12*D11)</f>
        <v>0</v>
      </c>
      <c r="AH15" s="7"/>
      <c r="BK15" s="7"/>
    </row>
    <row r="16" spans="1:63" x14ac:dyDescent="0.25">
      <c r="D16" s="2"/>
      <c r="E16" s="2"/>
      <c r="F16" s="2"/>
      <c r="J16" s="2">
        <f>(D12*D15+E12*D16+F12*D17)</f>
        <v>0</v>
      </c>
      <c r="K16" s="2">
        <f>(D12*E15+E12*E16+F12*E17)</f>
        <v>0</v>
      </c>
      <c r="L16" s="2">
        <f>(D12*F15+E12*F16+F12*F17)</f>
        <v>0</v>
      </c>
      <c r="O16" s="2">
        <f>E15</f>
        <v>0</v>
      </c>
      <c r="P16" s="2">
        <f>E16</f>
        <v>0</v>
      </c>
      <c r="Q16" s="2">
        <f>E17</f>
        <v>0</v>
      </c>
      <c r="T16" s="2">
        <f t="shared" si="2"/>
        <v>0</v>
      </c>
      <c r="U16" s="2">
        <f t="shared" si="2"/>
        <v>0</v>
      </c>
      <c r="V16" s="2">
        <f t="shared" si="2"/>
        <v>0</v>
      </c>
      <c r="Y16" s="2">
        <f>(J16*O11+K16*O12+L16*O13)</f>
        <v>0</v>
      </c>
      <c r="Z16" s="2">
        <f>(J16*P11+K16*P12+L16*P13)</f>
        <v>0</v>
      </c>
      <c r="AA16" s="2">
        <f>(J16*Q11+K16*Q12+L16*Q13)</f>
        <v>0</v>
      </c>
      <c r="AH16" s="7"/>
      <c r="BK16" s="7"/>
    </row>
    <row r="17" spans="1:63" x14ac:dyDescent="0.25">
      <c r="D17" s="2"/>
      <c r="E17" s="2"/>
      <c r="F17" s="2"/>
      <c r="J17" s="2">
        <f>(D13*D15+E13*D16+F13*D17)</f>
        <v>0</v>
      </c>
      <c r="K17" s="2">
        <f>(D13*E15+E13*E16+F13*E17)</f>
        <v>0</v>
      </c>
      <c r="L17" s="2">
        <f>(D13*F15+E13*F16+F13*F17)</f>
        <v>0</v>
      </c>
      <c r="O17" s="2">
        <f>F15</f>
        <v>0</v>
      </c>
      <c r="P17" s="2">
        <f>F16</f>
        <v>0</v>
      </c>
      <c r="Q17" s="2">
        <f>F17</f>
        <v>0</v>
      </c>
      <c r="T17" s="2">
        <f t="shared" si="2"/>
        <v>0</v>
      </c>
      <c r="U17" s="2">
        <f t="shared" si="2"/>
        <v>0</v>
      </c>
      <c r="V17" s="2">
        <f t="shared" si="2"/>
        <v>0</v>
      </c>
      <c r="Y17" s="2">
        <f>(J17*O11+K17*O12+L17*O13)</f>
        <v>0</v>
      </c>
      <c r="Z17" s="2">
        <f>(J17*P11+K17*P12+L17*P13)</f>
        <v>0</v>
      </c>
      <c r="AA17" s="2">
        <f>(J17*Q11+K17*Q12+L17*Q13)</f>
        <v>0</v>
      </c>
      <c r="AH17" s="7"/>
      <c r="BK17" s="7"/>
    </row>
    <row r="18" spans="1:63" x14ac:dyDescent="0.25">
      <c r="AH18" s="7"/>
      <c r="BK18" s="7"/>
    </row>
    <row r="19" spans="1:63" ht="3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Operações com matrizes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poletto</dc:creator>
  <cp:lastModifiedBy>mattia poletto</cp:lastModifiedBy>
  <dcterms:created xsi:type="dcterms:W3CDTF">2025-10-30T10:57:16Z</dcterms:created>
  <dcterms:modified xsi:type="dcterms:W3CDTF">2025-11-07T02:36:00Z</dcterms:modified>
</cp:coreProperties>
</file>